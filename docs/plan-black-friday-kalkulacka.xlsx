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dání" sheetId="1" state="visible" r:id="rId1"/>
    <sheet name="Plán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. m. yyyy"/>
    <numFmt numFmtId="166" formatCode="0.0%"/>
    <numFmt numFmtId="167" formatCode="#,##0&quot; Kč&quot;;-#,##0&quot; Kč&quot;;&quot;-&quot;"/>
    <numFmt numFmtId="168" formatCode="0%&quot; loňska&quot;"/>
    <numFmt numFmtId="169" formatCode="d. m."/>
    <numFmt numFmtId="170" formatCode="0.0%;-0.0%;&quot;-&quot;"/>
    <numFmt numFmtId="171" formatCode="0.0&quot; Kč&quot;;-0.0&quot; Kč&quot;;&quot;-&quot;"/>
  </numFmts>
  <fonts count="14">
    <font>
      <name val="Calibri"/>
      <family val="2"/>
      <color theme="1"/>
      <sz val="11"/>
      <scheme val="minor"/>
    </font>
    <font>
      <name val="Arial"/>
      <b val="1"/>
      <color rgb="005924C6"/>
      <sz val="16"/>
    </font>
    <font>
      <name val="Arial"/>
      <i val="1"/>
      <color rgb="005B5670"/>
      <sz val="10"/>
    </font>
    <font>
      <name val="Arial"/>
      <color rgb="0016121F"/>
      <sz val="10"/>
    </font>
    <font>
      <name val="Arial"/>
      <color rgb="000000FF"/>
      <sz val="10"/>
    </font>
    <font>
      <name val="Arial"/>
      <color rgb="005B5670"/>
      <sz val="9"/>
    </font>
    <font>
      <name val="Arial"/>
      <b val="1"/>
      <color rgb="005924C6"/>
      <sz val="12"/>
    </font>
    <font>
      <name val="Arial"/>
      <b val="1"/>
      <color rgb="0016121F"/>
      <sz val="10"/>
    </font>
    <font>
      <name val="Arial"/>
      <b val="1"/>
      <color rgb="00FFFFFF"/>
      <sz val="10"/>
    </font>
    <font>
      <name val="Arial"/>
      <b val="1"/>
      <color rgb="005924C6"/>
      <sz val="10"/>
    </font>
    <font>
      <name val="Arial"/>
      <color rgb="005B5670"/>
      <sz val="10"/>
    </font>
    <font>
      <name val="Arial"/>
      <b val="1"/>
      <color rgb="000000FF"/>
    </font>
    <font>
      <name val="Arial"/>
      <b val="1"/>
      <color rgb="0016121F"/>
    </font>
    <font>
      <name val="Arial"/>
      <i val="1"/>
      <color rgb="005B5670"/>
      <sz val="9"/>
    </font>
  </fonts>
  <fills count="6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5924C6"/>
      </patternFill>
    </fill>
    <fill>
      <patternFill patternType="solid">
        <fgColor rgb="00C2187F"/>
      </patternFill>
    </fill>
    <fill>
      <patternFill patternType="solid">
        <fgColor rgb="00F3F3FF"/>
      </patternFill>
    </fill>
  </fills>
  <borders count="3">
    <border>
      <left/>
      <right/>
      <top/>
      <bottom/>
      <diagonal/>
    </border>
    <border>
      <bottom style="thin">
        <color rgb="00E9D2F2"/>
      </bottom>
    </border>
    <border>
      <top style="medium">
        <color rgb="005924C6"/>
      </top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2" borderId="0" pivotButton="0" quotePrefix="0" xfId="0"/>
    <xf numFmtId="0" fontId="5" fillId="0" borderId="0" pivotButton="0" quotePrefix="0" xfId="0"/>
    <xf numFmtId="1" fontId="3" fillId="0" borderId="0" pivotButton="0" quotePrefix="0" xfId="0"/>
    <xf numFmtId="165" fontId="3" fillId="0" borderId="0" pivotButton="0" quotePrefix="0" xfId="0"/>
    <xf numFmtId="166" fontId="4" fillId="2" borderId="0" pivotButton="0" quotePrefix="0" xfId="0"/>
    <xf numFmtId="2" fontId="4" fillId="2" borderId="0" pivotButton="0" quotePrefix="0" xfId="0"/>
    <xf numFmtId="0" fontId="6" fillId="0" borderId="0" pivotButton="0" quotePrefix="0" xfId="0"/>
    <xf numFmtId="167" fontId="3" fillId="0" borderId="0" pivotButton="0" quotePrefix="0" xfId="0"/>
    <xf numFmtId="168" fontId="7" fillId="0" borderId="0" pivotButton="0" quotePrefix="0" xfId="0"/>
    <xf numFmtId="168" fontId="4" fillId="2" borderId="0" pivotButton="0" quotePrefix="0" xfId="0"/>
    <xf numFmtId="0" fontId="8" fillId="3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169" fontId="4" fillId="0" borderId="1" pivotButton="0" quotePrefix="0" xfId="0"/>
    <xf numFmtId="169" fontId="3" fillId="0" borderId="1" pivotButton="0" quotePrefix="0" xfId="0"/>
    <xf numFmtId="0" fontId="4" fillId="0" borderId="1" pivotButton="0" quotePrefix="0" xfId="0"/>
    <xf numFmtId="167" fontId="3" fillId="0" borderId="1" pivotButton="0" quotePrefix="0" xfId="0"/>
    <xf numFmtId="167" fontId="4" fillId="2" borderId="1" pivotButton="0" quotePrefix="0" xfId="0"/>
    <xf numFmtId="170" fontId="3" fillId="0" borderId="1" pivotButton="0" quotePrefix="0" xfId="0"/>
    <xf numFmtId="171" fontId="3" fillId="0" borderId="1" pivotButton="0" quotePrefix="0" xfId="0"/>
    <xf numFmtId="0" fontId="3" fillId="0" borderId="1" pivotButton="0" quotePrefix="0" xfId="0"/>
    <xf numFmtId="169" fontId="4" fillId="5" borderId="1" pivotButton="0" quotePrefix="0" xfId="0"/>
    <xf numFmtId="169" fontId="3" fillId="5" borderId="1" pivotButton="0" quotePrefix="0" xfId="0"/>
    <xf numFmtId="0" fontId="4" fillId="5" borderId="1" pivotButton="0" quotePrefix="0" xfId="0"/>
    <xf numFmtId="167" fontId="3" fillId="5" borderId="1" pivotButton="0" quotePrefix="0" xfId="0"/>
    <xf numFmtId="170" fontId="3" fillId="5" borderId="1" pivotButton="0" quotePrefix="0" xfId="0"/>
    <xf numFmtId="171" fontId="3" fillId="5" borderId="1" pivotButton="0" quotePrefix="0" xfId="0"/>
    <xf numFmtId="0" fontId="3" fillId="5" borderId="1" pivotButton="0" quotePrefix="0" xfId="0"/>
    <xf numFmtId="169" fontId="11" fillId="5" borderId="1" pivotButton="0" quotePrefix="0" xfId="0"/>
    <xf numFmtId="169" fontId="12" fillId="5" borderId="1" pivotButton="0" quotePrefix="0" xfId="0"/>
    <xf numFmtId="0" fontId="11" fillId="5" borderId="1" pivotButton="0" quotePrefix="0" xfId="0"/>
    <xf numFmtId="167" fontId="12" fillId="5" borderId="1" pivotButton="0" quotePrefix="0" xfId="0"/>
    <xf numFmtId="167" fontId="11" fillId="2" borderId="1" pivotButton="0" quotePrefix="0" xfId="0"/>
    <xf numFmtId="170" fontId="12" fillId="5" borderId="1" pivotButton="0" quotePrefix="0" xfId="0"/>
    <xf numFmtId="171" fontId="12" fillId="5" borderId="1" pivotButton="0" quotePrefix="0" xfId="0"/>
    <xf numFmtId="0" fontId="12" fillId="5" borderId="1" pivotButton="0" quotePrefix="0" xfId="0"/>
    <xf numFmtId="0" fontId="7" fillId="0" borderId="2" pivotButton="0" quotePrefix="0" xfId="0"/>
    <xf numFmtId="0" fontId="0" fillId="0" borderId="2" pivotButton="0" quotePrefix="0" xfId="0"/>
    <xf numFmtId="167" fontId="7" fillId="0" borderId="2" pivotButton="0" quotePrefix="0" xfId="0"/>
    <xf numFmtId="170" fontId="7" fillId="0" borderId="2" pivotButton="0" quotePrefix="0" xfId="0"/>
    <xf numFmtId="0" fontId="13" fillId="0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Chci utratit a odhad obratu po týdnech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'Plán'!I4</f>
            </strRef>
          </tx>
          <spPr>
            <a:solidFill>
              <a:srgbClr val="C7B4ED"/>
            </a:solidFill>
            <a:ln>
              <a:prstDash val="solid"/>
            </a:ln>
          </spPr>
          <cat>
            <numRef>
              <f>'Plán'!$A$5:$A$13</f>
            </numRef>
          </cat>
          <val>
            <numRef>
              <f>'Plán'!$I$5:$I$13</f>
            </numRef>
          </val>
        </ser>
        <ser>
          <idx val="1"/>
          <order val="1"/>
          <tx>
            <strRef>
              <f>'Plán'!J4</f>
            </strRef>
          </tx>
          <spPr>
            <a:solidFill>
              <a:srgbClr val="5924C6"/>
            </a:solidFill>
            <a:ln>
              <a:prstDash val="solid"/>
            </a:ln>
          </spPr>
          <cat>
            <numRef>
              <f>'Plán'!$A$5:$A$13</f>
            </numRef>
          </cat>
          <val>
            <numRef>
              <f>'Plán'!$J$5:$J$13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PLACEMENT</author>
  </authors>
  <commentList>
    <comment ref="I4" authorId="0" shapeId="0">
      <text>
        <t>Vyplňte: kolik Kč chcete v týdnu dát do reklamy. Předvyplněné je „jako teď“.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70" customWidth="1" min="3" max="3"/>
  </cols>
  <sheetData>
    <row r="1">
      <c r="A1" s="1" t="inlineStr">
        <is>
          <t>Plán Black Friday a Vánoc: váš e-shop</t>
        </is>
      </c>
    </row>
    <row r="2">
      <c r="A2" s="2" t="inlineStr">
        <is>
          <t>Žlutá políčka vyplňte (modré písmo = vaše vstupy). Ostatní se počítá samo. Data vložte na list „Data“, plán je na listu „Plán“.</t>
        </is>
      </c>
    </row>
    <row r="4">
      <c r="A4" s="3" t="inlineStr">
        <is>
          <t>Black Friday letos</t>
        </is>
      </c>
      <c r="B4" s="4" t="n">
        <v>46353</v>
      </c>
      <c r="C4" s="5" t="inlineStr">
        <is>
          <t>Pátek po čtvrtém listopadovém čtvrtku.</t>
        </is>
      </c>
    </row>
    <row r="5">
      <c r="A5" s="3" t="inlineStr">
        <is>
          <t>Black Friday loni</t>
        </is>
      </c>
      <c r="B5" s="4" t="n">
        <v>45989</v>
      </c>
      <c r="C5" s="5" t="inlineStr">
        <is>
          <t>Letos 27. 11., loni 28. 11. → posun 364 dní, sedí i dny v týdnu.</t>
        </is>
      </c>
    </row>
    <row r="6">
      <c r="A6" s="3" t="inlineStr">
        <is>
          <t>Posun loni → letos (dní)</t>
        </is>
      </c>
      <c r="B6" s="6">
        <f>B4-B5</f>
        <v/>
      </c>
      <c r="C6" s="5" t="inlineStr">
        <is>
          <t>Týden letos se srovnává s týdnem loni zarovnaným na Black Friday.</t>
        </is>
      </c>
    </row>
    <row r="7">
      <c r="A7" s="3" t="inlineStr">
        <is>
          <t>Poslední den v datech</t>
        </is>
      </c>
      <c r="B7" s="7">
        <f>MAX(Data!$A$2:$A$3000)</f>
        <v/>
      </c>
      <c r="C7" s="5" t="inlineStr">
        <is>
          <t>Včerejšek, pokud máte data až do včera.</t>
        </is>
      </c>
    </row>
    <row r="8">
      <c r="A8" s="3" t="inlineStr">
        <is>
          <t>Cílové PNO</t>
        </is>
      </c>
      <c r="B8" s="8" t="n">
        <v>0.52</v>
      </c>
      <c r="C8" s="5" t="inlineStr">
        <is>
          <t>Náklady / obrat. Cíl ROAS 190 % = PNO 52,6 %.</t>
        </is>
      </c>
    </row>
    <row r="9">
      <c r="A9" s="3" t="inlineStr">
        <is>
          <t>Marže (PNO, kde reklama začne prodělávat)</t>
        </is>
      </c>
      <c r="B9" s="8" t="n">
        <v>0.495</v>
      </c>
      <c r="C9" s="5" t="inlineStr">
        <is>
          <t>Hrubá marže e-shopu. Nad touhle hranicí každá koruna v reklamě prodělává.</t>
        </is>
      </c>
    </row>
    <row r="10">
      <c r="A10" s="3" t="inlineStr">
        <is>
          <t>Klesající výnos z navýšení (elasticita)</t>
        </is>
      </c>
      <c r="B10" s="9" t="n">
        <v>0.6</v>
      </c>
      <c r="C10" s="5" t="inlineStr">
        <is>
          <t>Obecný předpoklad: +10 % útraty ≈ +6 % obratu. Neměřené, upravte podle zkušenosti.</t>
        </is>
      </c>
    </row>
    <row r="12">
      <c r="A12" s="10" t="inlineStr">
        <is>
          <t>Letošní tempo: posledních 8 týdnů letos proti stejným 8 týdnům loni</t>
        </is>
      </c>
    </row>
    <row r="13">
      <c r="A13" s="3" t="inlineStr">
        <is>
          <t>Útrata letos (8 týdnů)</t>
        </is>
      </c>
      <c r="B13" s="11">
        <f>SUMPRODUCT((Data!$A$2:$A$3000&gt;=($B$7-55))*(Data!$A$2:$A$3000&lt;=$B$7)*Data!$B$2:$B$3000)</f>
        <v/>
      </c>
    </row>
    <row r="14">
      <c r="A14" s="3" t="inlineStr">
        <is>
          <t>Útrata loni (stejných 8 týdnů)</t>
        </is>
      </c>
      <c r="B14" s="11">
        <f>SUMPRODUCT((Data!$A$2:$A$3000&gt;=($B$7-55-$B$6))*(Data!$A$2:$A$3000&lt;=($B$7-$B$6))*Data!$B$2:$B$3000)</f>
        <v/>
      </c>
    </row>
    <row r="15">
      <c r="A15" s="3" t="inlineStr">
        <is>
          <t>Útrata letos v % loňské</t>
        </is>
      </c>
      <c r="B15" s="12">
        <f>IFERROR(B13/B14,1)</f>
        <v/>
      </c>
      <c r="C15" s="5" t="inlineStr">
        <is>
          <t>Výchozí bod, ne strop: kolik vyjde, když pojedete jako teď. Z toho se bere, kolik obratu přináší koruna. Kolik chcete utratit, napíšete na listu Plán.</t>
        </is>
      </c>
    </row>
    <row r="16">
      <c r="A16" s="3" t="inlineStr">
        <is>
          <t>Obrat letos (8 týdnů)</t>
        </is>
      </c>
      <c r="B16" s="11">
        <f>SUMPRODUCT((Data!$A$2:$A$3000&gt;=($B$7-55))*(Data!$A$2:$A$3000&lt;=$B$7)*Data!$C$2:$C$3000)</f>
        <v/>
      </c>
    </row>
    <row r="17">
      <c r="A17" s="3" t="inlineStr">
        <is>
          <t>Obrat loni (stejných 8 týdnů)</t>
        </is>
      </c>
      <c r="B17" s="11">
        <f>SUMPRODUCT((Data!$A$2:$A$3000&gt;=($B$7-55-$B$6))*(Data!$A$2:$A$3000&lt;=($B$7-$B$6))*Data!$C$2:$C$3000)</f>
        <v/>
      </c>
    </row>
    <row r="18">
      <c r="A18" s="3" t="inlineStr">
        <is>
          <t>Obrat letos v % loňského</t>
        </is>
      </c>
      <c r="B18" s="12">
        <f>IFERROR(B16/B17,1)</f>
        <v/>
      </c>
    </row>
    <row r="20">
      <c r="A20" s="10" t="inlineStr">
        <is>
          <t>Vlastní tempo (nechte prázdné = použije se spočítané)</t>
        </is>
      </c>
      <c r="C20" s="5" t="inlineStr">
        <is>
          <t>← jen když se účet zásadně změnil (nový systém, jiné měření). Jinak nechte prázdné.</t>
        </is>
      </c>
    </row>
    <row r="21">
      <c r="A21" s="3" t="inlineStr">
        <is>
          <t>Útrata v % loňské, se kterou počítáme</t>
        </is>
      </c>
      <c r="B21" s="12">
        <f>IF(C21="",B15,C21)</f>
        <v/>
      </c>
      <c r="C21" s="13" t="n"/>
    </row>
    <row r="22">
      <c r="A22" s="3" t="inlineStr">
        <is>
          <t>Obrat v % loňského, se kterým počítáme</t>
        </is>
      </c>
      <c r="B22" s="12">
        <f>IF(C22="",B18,C22)</f>
        <v/>
      </c>
      <c r="C22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12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  <col width="9" customWidth="1" min="11" max="11"/>
    <col width="16" customWidth="1" min="12" max="12"/>
    <col width="12" customWidth="1" min="13" max="13"/>
    <col width="20" customWidth="1" min="14" max="14"/>
    <col width="50" customWidth="1" min="15" max="15"/>
  </cols>
  <sheetData>
    <row r="1">
      <c r="A1" s="1" t="inlineStr">
        <is>
          <t>Plán po týdnech: váš e-shop</t>
        </is>
      </c>
    </row>
    <row r="2">
      <c r="A2" s="2" t="inlineStr">
        <is>
          <t>Do žlutého sloupce „Chci utratit“ napište, kolik chcete v týdnu dát do reklamy (třeba 40 000). Hned uvidíte odhad obratu, PNO a jestli se peníze navíc vyplatí proti marži.</t>
        </is>
      </c>
    </row>
    <row r="4" ht="32" customHeight="1">
      <c r="A4" s="14" t="inlineStr">
        <is>
          <t>Týden od</t>
        </is>
      </c>
      <c r="B4" s="14" t="inlineStr">
        <is>
          <t>do</t>
        </is>
      </c>
      <c r="C4" s="14" t="inlineStr">
        <is>
          <t>Fáze</t>
        </is>
      </c>
      <c r="D4" s="14" t="inlineStr">
        <is>
          <t>Loni týden od</t>
        </is>
      </c>
      <c r="E4" s="14" t="inlineStr">
        <is>
          <t>Loni útrata</t>
        </is>
      </c>
      <c r="F4" s="14" t="inlineStr">
        <is>
          <t>Loni obrat</t>
        </is>
      </c>
      <c r="G4" s="14" t="inlineStr">
        <is>
          <t>Jako teď: útrata</t>
        </is>
      </c>
      <c r="H4" s="14" t="inlineStr">
        <is>
          <t>Jako teď: obrat</t>
        </is>
      </c>
      <c r="I4" s="15" t="inlineStr">
        <is>
          <t>Chci utratit</t>
        </is>
      </c>
      <c r="J4" s="14" t="inlineStr">
        <is>
          <t>Odhad obratu</t>
        </is>
      </c>
      <c r="K4" s="14" t="inlineStr">
        <is>
          <t>PNO</t>
        </is>
      </c>
      <c r="L4" s="14" t="inlineStr">
        <is>
          <t>Na 100 Kč obratu navíc dáte</t>
        </is>
      </c>
      <c r="M4" s="14" t="inlineStr">
        <is>
          <t>Stav týdne</t>
        </is>
      </c>
      <c r="N4" s="14" t="inlineStr">
        <is>
          <t>Navýšení</t>
        </is>
      </c>
      <c r="O4" s="14" t="inlineStr">
        <is>
          <t>Co připravit</t>
        </is>
      </c>
    </row>
    <row r="5">
      <c r="A5" s="16" t="n">
        <v>46328</v>
      </c>
      <c r="B5" s="17">
        <f>A5+6</f>
        <v/>
      </c>
      <c r="C5" s="18" t="inlineStr">
        <is>
          <t>Rozjezd</t>
        </is>
      </c>
      <c r="D5" s="17">
        <f>A5-Zadání!$B$6</f>
        <v/>
      </c>
      <c r="E5" s="19">
        <f>SUMPRODUCT((Data!$A$2:$A$3000&gt;=D5)*(Data!$A$2:$A$3000&lt;=(D5+6))*Data!$B$2:$B$3000)</f>
        <v/>
      </c>
      <c r="F5" s="19">
        <f>SUMPRODUCT((Data!$A$2:$A$3000&gt;=D5)*(Data!$A$2:$A$3000&lt;=(D5+6))*Data!$C$2:$C$3000)</f>
        <v/>
      </c>
      <c r="G5" s="19">
        <f>E5*Zadání!$B$21</f>
        <v/>
      </c>
      <c r="H5" s="19">
        <f>F5*Zadání!$B$22</f>
        <v/>
      </c>
      <c r="I5" s="20">
        <f>ROUND(G5,-2)</f>
        <v/>
      </c>
      <c r="J5" s="19">
        <f>IF(G5&lt;=0,0,H5*(I5/G5)^Zadání!$B$10)</f>
        <v/>
      </c>
      <c r="K5" s="21">
        <f>IFERROR(I5/J5,"")</f>
        <v/>
      </c>
      <c r="L5" s="22">
        <f>IF(ABS(I5-G5)&lt;100,"",IFERROR(100*(I5-G5)/(J5-H5),""))</f>
        <v/>
      </c>
      <c r="M5" s="23">
        <f>IF(K5="","",IF(K5&gt;Zadání!$B$9,"prodělává",IF(K5&gt;Zadání!$B$8,"nad cílem","v cíli")))</f>
        <v/>
      </c>
      <c r="N5" s="23">
        <f>IF(L5="","",IF(I5&lt;G5,"ubráno",IF(L5&gt;100*Zadání!$B$9,"navýšení prodělává","navýšení vydělá")))</f>
        <v/>
      </c>
      <c r="O5" s="18" t="inlineStr">
        <is>
          <t>Teasery, early access, schválit BF kreativy</t>
        </is>
      </c>
    </row>
    <row r="6">
      <c r="A6" s="24" t="n">
        <v>46335</v>
      </c>
      <c r="B6" s="25">
        <f>A6+6</f>
        <v/>
      </c>
      <c r="C6" s="26" t="inlineStr">
        <is>
          <t>Rozjezd</t>
        </is>
      </c>
      <c r="D6" s="25">
        <f>A6-Zadání!$B$6</f>
        <v/>
      </c>
      <c r="E6" s="27">
        <f>SUMPRODUCT((Data!$A$2:$A$3000&gt;=D6)*(Data!$A$2:$A$3000&lt;=(D6+6))*Data!$B$2:$B$3000)</f>
        <v/>
      </c>
      <c r="F6" s="27">
        <f>SUMPRODUCT((Data!$A$2:$A$3000&gt;=D6)*(Data!$A$2:$A$3000&lt;=(D6+6))*Data!$C$2:$C$3000)</f>
        <v/>
      </c>
      <c r="G6" s="27">
        <f>E6*Zadání!$B$21</f>
        <v/>
      </c>
      <c r="H6" s="27">
        <f>F6*Zadání!$B$22</f>
        <v/>
      </c>
      <c r="I6" s="20">
        <f>ROUND(G6,-2)</f>
        <v/>
      </c>
      <c r="J6" s="27">
        <f>IF(G6&lt;=0,0,H6*(I6/G6)^Zadání!$B$10)</f>
        <v/>
      </c>
      <c r="K6" s="28">
        <f>IFERROR(I6/J6,"")</f>
        <v/>
      </c>
      <c r="L6" s="29">
        <f>IF(ABS(I6-G6)&lt;100,"",IFERROR(100*(I6-G6)/(J6-H6),""))</f>
        <v/>
      </c>
      <c r="M6" s="30">
        <f>IF(K6="","",IF(K6&gt;Zadání!$B$9,"prodělává",IF(K6&gt;Zadání!$B$8,"nad cílem","v cíli")))</f>
        <v/>
      </c>
      <c r="N6" s="30">
        <f>IF(L6="","",IF(I6&lt;G6,"ubráno",IF(L6&gt;100*Zadání!$B$9,"navýšení prodělává","navýšení vydělá")))</f>
        <v/>
      </c>
      <c r="O6" s="26" t="inlineStr">
        <is>
          <t>Test 3 hooků na bannerech, plnit publika</t>
        </is>
      </c>
    </row>
    <row r="7">
      <c r="A7" s="16" t="n">
        <v>46342</v>
      </c>
      <c r="B7" s="17">
        <f>A7+6</f>
        <v/>
      </c>
      <c r="C7" s="18" t="inlineStr">
        <is>
          <t>Rozjezd → Black Week od 20. 11.</t>
        </is>
      </c>
      <c r="D7" s="17">
        <f>A7-Zadání!$B$6</f>
        <v/>
      </c>
      <c r="E7" s="19">
        <f>SUMPRODUCT((Data!$A$2:$A$3000&gt;=D7)*(Data!$A$2:$A$3000&lt;=(D7+6))*Data!$B$2:$B$3000)</f>
        <v/>
      </c>
      <c r="F7" s="19">
        <f>SUMPRODUCT((Data!$A$2:$A$3000&gt;=D7)*(Data!$A$2:$A$3000&lt;=(D7+6))*Data!$C$2:$C$3000)</f>
        <v/>
      </c>
      <c r="G7" s="19">
        <f>E7*Zadání!$B$21</f>
        <v/>
      </c>
      <c r="H7" s="19">
        <f>F7*Zadání!$B$22</f>
        <v/>
      </c>
      <c r="I7" s="20">
        <f>ROUND(G7,-2)</f>
        <v/>
      </c>
      <c r="J7" s="19">
        <f>IF(G7&lt;=0,0,H7*(I7/G7)^Zadání!$B$10)</f>
        <v/>
      </c>
      <c r="K7" s="21">
        <f>IFERROR(I7/J7,"")</f>
        <v/>
      </c>
      <c r="L7" s="22">
        <f>IF(ABS(I7-G7)&lt;100,"",IFERROR(100*(I7-G7)/(J7-H7),""))</f>
        <v/>
      </c>
      <c r="M7" s="23">
        <f>IF(K7="","",IF(K7&gt;Zadání!$B$9,"prodělává",IF(K7&gt;Zadání!$B$8,"nad cílem","v cíli")))</f>
        <v/>
      </c>
      <c r="N7" s="23">
        <f>IF(L7="","",IF(I7&lt;G7,"ubráno",IF(L7&gt;100*Zadání!$B$9,"navýšení prodělává","navýšení vydělá")))</f>
        <v/>
      </c>
      <c r="O7" s="18" t="inlineStr">
        <is>
          <t>Spustit nabídku, zpřísnit hlídač</t>
        </is>
      </c>
    </row>
    <row r="8">
      <c r="A8" s="31" t="n">
        <v>46349</v>
      </c>
      <c r="B8" s="32">
        <f>A8+6</f>
        <v/>
      </c>
      <c r="C8" s="33" t="inlineStr">
        <is>
          <t>Black Week a Black Friday</t>
        </is>
      </c>
      <c r="D8" s="32">
        <f>A8-Zadání!$B$6</f>
        <v/>
      </c>
      <c r="E8" s="34">
        <f>SUMPRODUCT((Data!$A$2:$A$3000&gt;=D8)*(Data!$A$2:$A$3000&lt;=(D8+6))*Data!$B$2:$B$3000)</f>
        <v/>
      </c>
      <c r="F8" s="34">
        <f>SUMPRODUCT((Data!$A$2:$A$3000&gt;=D8)*(Data!$A$2:$A$3000&lt;=(D8+6))*Data!$C$2:$C$3000)</f>
        <v/>
      </c>
      <c r="G8" s="34">
        <f>E8*Zadání!$B$21</f>
        <v/>
      </c>
      <c r="H8" s="34">
        <f>F8*Zadání!$B$22</f>
        <v/>
      </c>
      <c r="I8" s="35">
        <f>ROUND(G8,-2)</f>
        <v/>
      </c>
      <c r="J8" s="34">
        <f>IF(G8&lt;=0,0,H8*(I8/G8)^Zadání!$B$10)</f>
        <v/>
      </c>
      <c r="K8" s="36">
        <f>IFERROR(I8/J8,"")</f>
        <v/>
      </c>
      <c r="L8" s="37">
        <f>IF(ABS(I8-G8)&lt;100,"",IFERROR(100*(I8-G8)/(J8-H8),""))</f>
        <v/>
      </c>
      <c r="M8" s="38">
        <f>IF(K8="","",IF(K8&gt;Zadání!$B$9,"prodělává",IF(K8&gt;Zadání!$B$8,"nad cílem","v cíli")))</f>
        <v/>
      </c>
      <c r="N8" s="38">
        <f>IF(L8="","",IF(I8&lt;G8,"ubráno",IF(L8&gt;100*Zadání!$B$9,"navýšení prodělává","navýšení vydělá")))</f>
        <v/>
      </c>
      <c r="O8" s="33" t="inlineStr">
        <is>
          <t>Rozpočty s rezervou, hlídat i večer a o víkendu</t>
        </is>
      </c>
    </row>
    <row r="9">
      <c r="A9" s="16" t="n">
        <v>46356</v>
      </c>
      <c r="B9" s="17">
        <f>A9+6</f>
        <v/>
      </c>
      <c r="C9" s="18" t="inlineStr">
        <is>
          <t>Cyber Monday, pak Vánoce</t>
        </is>
      </c>
      <c r="D9" s="17">
        <f>A9-Zadání!$B$6</f>
        <v/>
      </c>
      <c r="E9" s="19">
        <f>SUMPRODUCT((Data!$A$2:$A$3000&gt;=D9)*(Data!$A$2:$A$3000&lt;=(D9+6))*Data!$B$2:$B$3000)</f>
        <v/>
      </c>
      <c r="F9" s="19">
        <f>SUMPRODUCT((Data!$A$2:$A$3000&gt;=D9)*(Data!$A$2:$A$3000&lt;=(D9+6))*Data!$C$2:$C$3000)</f>
        <v/>
      </c>
      <c r="G9" s="19">
        <f>E9*Zadání!$B$21</f>
        <v/>
      </c>
      <c r="H9" s="19">
        <f>F9*Zadání!$B$22</f>
        <v/>
      </c>
      <c r="I9" s="20">
        <f>ROUND(G9,-2)</f>
        <v/>
      </c>
      <c r="J9" s="19">
        <f>IF(G9&lt;=0,0,H9*(I9/G9)^Zadání!$B$10)</f>
        <v/>
      </c>
      <c r="K9" s="21">
        <f>IFERROR(I9/J9,"")</f>
        <v/>
      </c>
      <c r="L9" s="22">
        <f>IF(ABS(I9-G9)&lt;100,"",IFERROR(100*(I9-G9)/(J9-H9),""))</f>
        <v/>
      </c>
      <c r="M9" s="23">
        <f>IF(K9="","",IF(K9&gt;Zadání!$B$9,"prodělává",IF(K9&gt;Zadání!$B$8,"nad cílem","v cíli")))</f>
        <v/>
      </c>
      <c r="N9" s="23">
        <f>IF(L9="","",IF(I9&lt;G9,"ubráno",IF(L9&gt;100*Zadání!$B$9,"navýšení prodělává","navýšení vydělá")))</f>
        <v/>
      </c>
      <c r="O9" s="18" t="inlineStr">
        <is>
          <t>Poslední den akce, přepnout na dárky</t>
        </is>
      </c>
    </row>
    <row r="10">
      <c r="A10" s="24" t="n">
        <v>46363</v>
      </c>
      <c r="B10" s="25">
        <f>A10+6</f>
        <v/>
      </c>
      <c r="C10" s="26" t="inlineStr">
        <is>
          <t>Vánoční nákupy</t>
        </is>
      </c>
      <c r="D10" s="25">
        <f>A10-Zadání!$B$6</f>
        <v/>
      </c>
      <c r="E10" s="27">
        <f>SUMPRODUCT((Data!$A$2:$A$3000&gt;=D10)*(Data!$A$2:$A$3000&lt;=(D10+6))*Data!$B$2:$B$3000)</f>
        <v/>
      </c>
      <c r="F10" s="27">
        <f>SUMPRODUCT((Data!$A$2:$A$3000&gt;=D10)*(Data!$A$2:$A$3000&lt;=(D10+6))*Data!$C$2:$C$3000)</f>
        <v/>
      </c>
      <c r="G10" s="27">
        <f>E10*Zadání!$B$21</f>
        <v/>
      </c>
      <c r="H10" s="27">
        <f>F10*Zadání!$B$22</f>
        <v/>
      </c>
      <c r="I10" s="20">
        <f>ROUND(G10,-2)</f>
        <v/>
      </c>
      <c r="J10" s="27">
        <f>IF(G10&lt;=0,0,H10*(I10/G10)^Zadání!$B$10)</f>
        <v/>
      </c>
      <c r="K10" s="28">
        <f>IFERROR(I10/J10,"")</f>
        <v/>
      </c>
      <c r="L10" s="29">
        <f>IF(ABS(I10-G10)&lt;100,"",IFERROR(100*(I10-G10)/(J10-H10),""))</f>
        <v/>
      </c>
      <c r="M10" s="30">
        <f>IF(K10="","",IF(K10&gt;Zadání!$B$9,"prodělává",IF(K10&gt;Zadání!$B$8,"nad cílem","v cíli")))</f>
        <v/>
      </c>
      <c r="N10" s="30">
        <f>IF(L10="","",IF(I10&lt;G10,"ubráno",IF(L10&gt;100*Zadání!$B$9,"navýšení prodělává","navýšení vydělá")))</f>
        <v/>
      </c>
      <c r="O10" s="26" t="inlineStr">
        <is>
          <t>Dárkové kreativy, termín doručení</t>
        </is>
      </c>
    </row>
    <row r="11">
      <c r="A11" s="16" t="n">
        <v>46370</v>
      </c>
      <c r="B11" s="17">
        <f>A11+6</f>
        <v/>
      </c>
      <c r="C11" s="18" t="inlineStr">
        <is>
          <t>Vánoční nákupy, doručení do 18. 12.</t>
        </is>
      </c>
      <c r="D11" s="17">
        <f>A11-Zadání!$B$6</f>
        <v/>
      </c>
      <c r="E11" s="19">
        <f>SUMPRODUCT((Data!$A$2:$A$3000&gt;=D11)*(Data!$A$2:$A$3000&lt;=(D11+6))*Data!$B$2:$B$3000)</f>
        <v/>
      </c>
      <c r="F11" s="19">
        <f>SUMPRODUCT((Data!$A$2:$A$3000&gt;=D11)*(Data!$A$2:$A$3000&lt;=(D11+6))*Data!$C$2:$C$3000)</f>
        <v/>
      </c>
      <c r="G11" s="19">
        <f>E11*Zadání!$B$21</f>
        <v/>
      </c>
      <c r="H11" s="19">
        <f>F11*Zadání!$B$22</f>
        <v/>
      </c>
      <c r="I11" s="20">
        <f>ROUND(G11,-2)</f>
        <v/>
      </c>
      <c r="J11" s="19">
        <f>IF(G11&lt;=0,0,H11*(I11/G11)^Zadání!$B$10)</f>
        <v/>
      </c>
      <c r="K11" s="21">
        <f>IFERROR(I11/J11,"")</f>
        <v/>
      </c>
      <c r="L11" s="22">
        <f>IF(ABS(I11-G11)&lt;100,"",IFERROR(100*(I11-G11)/(J11-H11),""))</f>
        <v/>
      </c>
      <c r="M11" s="23">
        <f>IF(K11="","",IF(K11&gt;Zadání!$B$9,"prodělává",IF(K11&gt;Zadání!$B$8,"nad cílem","v cíli")))</f>
        <v/>
      </c>
      <c r="N11" s="23">
        <f>IF(L11="","",IF(I11&lt;G11,"ubráno",IF(L11&gt;100*Zadání!$B$9,"navýšení prodělává","navýšení vydělá")))</f>
        <v/>
      </c>
      <c r="O11" s="18" t="inlineStr">
        <is>
          <t>Hlídat sklad top produktů</t>
        </is>
      </c>
    </row>
    <row r="12">
      <c r="A12" s="24" t="n">
        <v>46377</v>
      </c>
      <c r="B12" s="25">
        <f>A12+6</f>
        <v/>
      </c>
      <c r="C12" s="26" t="inlineStr">
        <is>
          <t>Po posledním doručení</t>
        </is>
      </c>
      <c r="D12" s="25">
        <f>A12-Zadání!$B$6</f>
        <v/>
      </c>
      <c r="E12" s="27">
        <f>SUMPRODUCT((Data!$A$2:$A$3000&gt;=D12)*(Data!$A$2:$A$3000&lt;=(D12+6))*Data!$B$2:$B$3000)</f>
        <v/>
      </c>
      <c r="F12" s="27">
        <f>SUMPRODUCT((Data!$A$2:$A$3000&gt;=D12)*(Data!$A$2:$A$3000&lt;=(D12+6))*Data!$C$2:$C$3000)</f>
        <v/>
      </c>
      <c r="G12" s="27">
        <f>E12*Zadání!$B$21</f>
        <v/>
      </c>
      <c r="H12" s="27">
        <f>F12*Zadání!$B$22</f>
        <v/>
      </c>
      <c r="I12" s="20">
        <f>ROUND(G12,-2)</f>
        <v/>
      </c>
      <c r="J12" s="27">
        <f>IF(G12&lt;=0,0,H12*(I12/G12)^Zadání!$B$10)</f>
        <v/>
      </c>
      <c r="K12" s="28">
        <f>IFERROR(I12/J12,"")</f>
        <v/>
      </c>
      <c r="L12" s="29">
        <f>IF(ABS(I12-G12)&lt;100,"",IFERROR(100*(I12-G12)/(J12-H12),""))</f>
        <v/>
      </c>
      <c r="M12" s="30">
        <f>IF(K12="","",IF(K12&gt;Zadání!$B$9,"prodělává",IF(K12&gt;Zadání!$B$8,"nad cílem","v cíli")))</f>
        <v/>
      </c>
      <c r="N12" s="30">
        <f>IF(L12="","",IF(I12&lt;G12,"ubráno",IF(L12&gt;100*Zadání!$B$9,"navýšení prodělává","navýšení vydělá")))</f>
        <v/>
      </c>
      <c r="O12" s="26" t="inlineStr">
        <is>
          <t>Ubrat, osobní odběr, dárkové poukazy</t>
        </is>
      </c>
    </row>
    <row r="13">
      <c r="A13" s="16" t="n">
        <v>46384</v>
      </c>
      <c r="B13" s="17">
        <f>A13+6</f>
        <v/>
      </c>
      <c r="C13" s="18" t="inlineStr">
        <is>
          <t>Po Vánocích</t>
        </is>
      </c>
      <c r="D13" s="17">
        <f>A13-Zadání!$B$6</f>
        <v/>
      </c>
      <c r="E13" s="19">
        <f>SUMPRODUCT((Data!$A$2:$A$3000&gt;=D13)*(Data!$A$2:$A$3000&lt;=(D13+6))*Data!$B$2:$B$3000)</f>
        <v/>
      </c>
      <c r="F13" s="19">
        <f>SUMPRODUCT((Data!$A$2:$A$3000&gt;=D13)*(Data!$A$2:$A$3000&lt;=(D13+6))*Data!$C$2:$C$3000)</f>
        <v/>
      </c>
      <c r="G13" s="19">
        <f>E13*Zadání!$B$21</f>
        <v/>
      </c>
      <c r="H13" s="19">
        <f>F13*Zadání!$B$22</f>
        <v/>
      </c>
      <c r="I13" s="20">
        <f>ROUND(G13,-2)</f>
        <v/>
      </c>
      <c r="J13" s="19">
        <f>IF(G13&lt;=0,0,H13*(I13/G13)^Zadání!$B$10)</f>
        <v/>
      </c>
      <c r="K13" s="21">
        <f>IFERROR(I13/J13,"")</f>
        <v/>
      </c>
      <c r="L13" s="22">
        <f>IF(ABS(I13-G13)&lt;100,"",IFERROR(100*(I13-G13)/(J13-H13),""))</f>
        <v/>
      </c>
      <c r="M13" s="23">
        <f>IF(K13="","",IF(K13&gt;Zadání!$B$9,"prodělává",IF(K13&gt;Zadání!$B$8,"nad cílem","v cíli")))</f>
        <v/>
      </c>
      <c r="N13" s="23">
        <f>IF(L13="","",IF(I13&lt;G13,"ubráno",IF(L13&gt;100*Zadání!$B$9,"navýšení prodělává","navýšení vydělá")))</f>
        <v/>
      </c>
      <c r="O13" s="18" t="inlineStr">
        <is>
          <t>Výprodej, vyhodnotit sezónu</t>
        </is>
      </c>
    </row>
    <row r="14">
      <c r="A14" s="39" t="inlineStr">
        <is>
          <t>Sezóna celkem</t>
        </is>
      </c>
      <c r="B14" s="40" t="n"/>
      <c r="C14" s="40" t="n"/>
      <c r="D14" s="40" t="n"/>
      <c r="E14" s="41">
        <f>SUM(E5:E13)</f>
        <v/>
      </c>
      <c r="F14" s="41">
        <f>SUM(F5:F13)</f>
        <v/>
      </c>
      <c r="G14" s="41">
        <f>SUM(G5:G13)</f>
        <v/>
      </c>
      <c r="H14" s="41">
        <f>SUM(H5:H13)</f>
        <v/>
      </c>
      <c r="I14" s="41">
        <f>SUM(I5:I13)</f>
        <v/>
      </c>
      <c r="J14" s="41">
        <f>SUM(J5:J13)</f>
        <v/>
      </c>
      <c r="K14" s="42">
        <f>IFERROR(I14/J14,"")</f>
        <v/>
      </c>
      <c r="L14" s="40" t="n"/>
      <c r="M14" s="40" t="n"/>
      <c r="N14" s="40" t="n"/>
      <c r="O14" s="40" t="n"/>
    </row>
    <row r="16">
      <c r="A16" s="43" t="inlineStr">
        <is>
          <t>„Jako teď“ = loňský týden přepočtený na letošní tempo (list Zadání). Výchozí bod, ne strop.</t>
        </is>
      </c>
    </row>
    <row r="17">
      <c r="A17" s="43" t="inlineStr">
        <is>
          <t>„Chci utratit“ = vaše rozhodnutí. Obrat neroste stejně rychle jako útrata: +10 % útraty ≈ +6 % obratu (list Zadání, upravitelné).</t>
        </is>
      </c>
    </row>
    <row r="18">
      <c r="A18" s="43" t="inlineStr">
        <is>
          <t>„Na 100 Kč obratu navíc dáte“ = kolik Kč reklamy stojí každých 100 Kč obratu, které přinesou peníze navíc. Víc než marže? Navýšení prodělává, i když PNO týdne vypadá dobře.</t>
        </is>
      </c>
    </row>
    <row r="19">
      <c r="A19" s="43" t="inlineStr">
        <is>
          <t>Je to odhad z historie, ne slib. Neví o slevách, skladu ani nových kampaních. Obrat = atribuce reklamních systémů, ne účetní tržba.</t>
        </is>
      </c>
    </row>
  </sheetData>
  <dataValidations count="1">
    <dataValidation sqref="I5:I1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90" customWidth="1" min="5" max="5"/>
  </cols>
  <sheetData>
    <row r="1">
      <c r="A1" s="44" t="inlineStr">
        <is>
          <t>Datum</t>
        </is>
      </c>
      <c r="B1" s="44" t="inlineStr">
        <is>
          <t>Útrata (Kč, všechny systémy)</t>
        </is>
      </c>
      <c r="C1" s="44" t="inlineStr">
        <is>
          <t>Obrat (Kč, všechny systémy)</t>
        </is>
      </c>
      <c r="E1" s="45" t="inlineStr">
        <is>
          <t>Jak vyplnit</t>
        </is>
      </c>
    </row>
    <row r="2">
      <c r="E2" s="46" t="inlineStr">
        <is>
          <t>Jeden řádek = jeden den, součet všech reklamních systémů (Google Ads + Sklik + Meta…).</t>
        </is>
      </c>
    </row>
    <row r="3">
      <c r="E3" s="46" t="inlineStr">
        <is>
          <t>Období: od 1. 9. loňského roku do včera. Datum jako datum (2025-09-01), čísla bez „Kč“.</t>
        </is>
      </c>
    </row>
    <row r="4">
      <c r="E4" s="46" t="inlineStr">
        <is>
          <t>Příklad řádku: 1. 9. 2025 | 3 150 | 9 870</t>
        </is>
      </c>
    </row>
    <row r="5">
      <c r="E5" s="46" t="inlineStr">
        <is>
          <t>Exporty po dnech: Google Ads (Den, Náklady, Hodnota konv.), Meta (Den, Utracená částka,</t>
        </is>
      </c>
    </row>
    <row r="6">
      <c r="E6" s="46" t="inlineStr">
        <is>
          <t>Hodnota konverze nákupů), Sklik (Den, Cena, Hodnota konverzí). Dny ze systémů sečtěte.</t>
        </is>
      </c>
    </row>
    <row r="7">
      <c r="E7" s="46" t="inlineStr">
        <is>
          <t>Bez dat z reklam? Vložte do sloupce C tržby z GA4 a útratu nechte prázdnou: plán ukáže tvar sezóny.</t>
        </is>
      </c>
    </row>
    <row r="8">
      <c r="E8" s="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2026-10-21T07:20:24Z</dcterms:created>
  <dcterms:modified xsi:type="dcterms:W3CDTF">2026-10-21T07:20:24Z</dcterms:modified>
</cp:coreProperties>
</file>